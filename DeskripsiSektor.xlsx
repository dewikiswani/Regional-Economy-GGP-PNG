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crafcifor-my.sharepoint.com/personal/d_bodro_landscapealliance_org/Documents/Documents/GitHub/Regional-Economy-GGP-PNG/"/>
    </mc:Choice>
  </mc:AlternateContent>
  <xr:revisionPtr revIDLastSave="5" documentId="8_{D05DDFA1-92DF-4CA7-B250-8152B3E9D77E}" xr6:coauthVersionLast="47" xr6:coauthVersionMax="47" xr10:uidLastSave="{6B42F943-8649-4E5A-9C64-538CFB194581}"/>
  <bookViews>
    <workbookView xWindow="-108" yWindow="-108" windowWidth="23256" windowHeight="13896" xr2:uid="{E1C60AC3-C6A1-4F74-BF98-34B67247E69B}"/>
  </bookViews>
  <sheets>
    <sheet name="DeskripsiSektor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2" i="1" l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Bodro, Dewi Kiswani</author>
  </authors>
  <commentList>
    <comment ref="G18" authorId="0" shapeId="0" xr:uid="{655ECD27-9EAB-49DE-92FE-65BADE35BEF0}">
      <text>
        <r>
          <rPr>
            <b/>
            <sz val="9"/>
            <color indexed="81"/>
            <rFont val="Tahoma"/>
            <charset val="1"/>
          </rPr>
          <t>Bodro, Dewi Kiswani:</t>
        </r>
        <r>
          <rPr>
            <sz val="9"/>
            <color indexed="81"/>
            <rFont val="Tahoma"/>
            <charset val="1"/>
          </rPr>
          <t xml:space="preserve">
Asumsi sementara untuk running data
</t>
        </r>
      </text>
    </comment>
  </commentList>
</comments>
</file>

<file path=xl/sharedStrings.xml><?xml version="1.0" encoding="utf-8"?>
<sst xmlns="http://schemas.openxmlformats.org/spreadsheetml/2006/main" count="131" uniqueCount="91">
  <si>
    <t>KodeSektor</t>
  </si>
  <si>
    <t>NamaSektor</t>
  </si>
  <si>
    <t>NamaPendek</t>
  </si>
  <si>
    <t>KSM</t>
  </si>
  <si>
    <t>Constrained</t>
  </si>
  <si>
    <t>Unconstrained</t>
  </si>
  <si>
    <t>RateUnconstrained</t>
  </si>
  <si>
    <t>TenagaKerja</t>
  </si>
  <si>
    <t>A</t>
  </si>
  <si>
    <t>cmaiz</t>
  </si>
  <si>
    <t>crice</t>
  </si>
  <si>
    <t>cocer</t>
  </si>
  <si>
    <t>cpuls</t>
  </si>
  <si>
    <t>coils</t>
  </si>
  <si>
    <t>croot</t>
  </si>
  <si>
    <t>cvege</t>
  </si>
  <si>
    <t>csugr</t>
  </si>
  <si>
    <t>cfrui</t>
  </si>
  <si>
    <t>ccoff</t>
  </si>
  <si>
    <t>cocrp</t>
  </si>
  <si>
    <t>ccatt</t>
  </si>
  <si>
    <t>cpoul</t>
  </si>
  <si>
    <t>coliv</t>
  </si>
  <si>
    <t>cfore</t>
  </si>
  <si>
    <t>cfish</t>
  </si>
  <si>
    <t>cmine</t>
  </si>
  <si>
    <t>cfood</t>
  </si>
  <si>
    <t>cbeve</t>
  </si>
  <si>
    <t>ctext</t>
  </si>
  <si>
    <t>cwood</t>
  </si>
  <si>
    <t>cchem</t>
  </si>
  <si>
    <t>cnmet</t>
  </si>
  <si>
    <t>cmetl</t>
  </si>
  <si>
    <t>cmach</t>
  </si>
  <si>
    <t>coman</t>
  </si>
  <si>
    <t>celec</t>
  </si>
  <si>
    <t>cwatr</t>
  </si>
  <si>
    <t>ccons</t>
  </si>
  <si>
    <t>ctrad</t>
  </si>
  <si>
    <t>ctran</t>
  </si>
  <si>
    <t>chotl</t>
  </si>
  <si>
    <t>ccomm</t>
  </si>
  <si>
    <t>cfsrv</t>
  </si>
  <si>
    <t>creal</t>
  </si>
  <si>
    <t>cbsrv</t>
  </si>
  <si>
    <t>cpadm</t>
  </si>
  <si>
    <t>ceduc</t>
  </si>
  <si>
    <t>cheal</t>
  </si>
  <si>
    <t>cosrv</t>
  </si>
  <si>
    <t>Maize</t>
  </si>
  <si>
    <t>Rice</t>
  </si>
  <si>
    <t>Other cereals</t>
  </si>
  <si>
    <t>Pulses</t>
  </si>
  <si>
    <t>Oilseeds</t>
  </si>
  <si>
    <t>Roots</t>
  </si>
  <si>
    <t>Vegetables</t>
  </si>
  <si>
    <t>Sugarcane</t>
  </si>
  <si>
    <t>Fruits and nuts</t>
  </si>
  <si>
    <t>Coffee, tea and cocoa</t>
  </si>
  <si>
    <t>Other crops</t>
  </si>
  <si>
    <t>Cattle and raw milk</t>
  </si>
  <si>
    <t>Poultry and eggs</t>
  </si>
  <si>
    <t>Other livestock</t>
  </si>
  <si>
    <t>Forestry</t>
  </si>
  <si>
    <t>Fisheries</t>
  </si>
  <si>
    <t>Mining</t>
  </si>
  <si>
    <t>Processed foods</t>
  </si>
  <si>
    <t>Beverage and tobacco</t>
  </si>
  <si>
    <t>Textiles, clothing and footwear</t>
  </si>
  <si>
    <t>Wood and paper products</t>
  </si>
  <si>
    <t>Chemicals and petroleum</t>
  </si>
  <si>
    <t>Non-metal minerals</t>
  </si>
  <si>
    <t>Metals and metal products</t>
  </si>
  <si>
    <t>Machinery, equipment and vehicles</t>
  </si>
  <si>
    <t>Other manufacturing</t>
  </si>
  <si>
    <t>Electricity, gas and steam</t>
  </si>
  <si>
    <t>Water supply and sewage</t>
  </si>
  <si>
    <t>Construction</t>
  </si>
  <si>
    <t>Wholesale and retail trade</t>
  </si>
  <si>
    <t>Transportation and storage</t>
  </si>
  <si>
    <t>Accommodation and food services</t>
  </si>
  <si>
    <t>Information and communication</t>
  </si>
  <si>
    <t>Finance and insurance</t>
  </si>
  <si>
    <t>Real estate activities</t>
  </si>
  <si>
    <t>Business services</t>
  </si>
  <si>
    <t>Public administration</t>
  </si>
  <si>
    <t>Education</t>
  </si>
  <si>
    <t>Health and social work</t>
  </si>
  <si>
    <t>Other services</t>
  </si>
  <si>
    <t>Other economic sectors with unclear boundaries</t>
  </si>
  <si>
    <t>coesub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</si>
</sst>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rafcifor.sharepoint.com/sites/PRACTICAL/Shared%20Documents/GGP%20PNG/Regional%20Economy%20-%20PNG/Data%20Input%20RegEco%20-%20GGP%20PNG%20Oro%20Province%20.xlsx" TargetMode="External"/><Relationship Id="rId1" Type="http://schemas.openxmlformats.org/officeDocument/2006/relationships/externalLinkPath" Target="https://icrafcifor.sharepoint.com/sites/PRACTICAL/Shared%20Documents/GGP%20PNG/Regional%20Economy%20-%20PNG/Data%20Input%20RegEco%20-%20GGP%20PNG%20Oro%20Province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o_2019_IO"/>
      <sheetName val="Oro_2023_IO"/>
      <sheetName val="PNG_2019_IO"/>
      <sheetName val="PNG_2023_IO"/>
      <sheetName val="Oro_2019 (cek)"/>
      <sheetName val="Oro_2023 (cek)"/>
      <sheetName val="List Data Input"/>
      <sheetName val="io"/>
      <sheetName val="DeskripsiSektor"/>
      <sheetName val="LDC"/>
      <sheetName val="BAU_Lahan"/>
      <sheetName val="TK"/>
      <sheetName val="Assumption_TK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D2">
            <v>100.69717125</v>
          </cell>
        </row>
        <row r="3">
          <cell r="D3">
            <v>201.39434249999999</v>
          </cell>
        </row>
        <row r="4">
          <cell r="D4">
            <v>201.39434249999999</v>
          </cell>
        </row>
        <row r="5">
          <cell r="D5">
            <v>201.39434249999999</v>
          </cell>
        </row>
        <row r="6">
          <cell r="D6">
            <v>12003.102813</v>
          </cell>
        </row>
        <row r="7">
          <cell r="D7">
            <v>30007.757032499998</v>
          </cell>
        </row>
        <row r="8">
          <cell r="D8">
            <v>7995.3553972499994</v>
          </cell>
        </row>
        <row r="9">
          <cell r="D9">
            <v>503.48585624999998</v>
          </cell>
        </row>
        <row r="10">
          <cell r="D10">
            <v>6998.453401875001</v>
          </cell>
        </row>
        <row r="11">
          <cell r="D11">
            <v>1500.3878516249999</v>
          </cell>
        </row>
        <row r="12">
          <cell r="D12">
            <v>5034.8585625000005</v>
          </cell>
        </row>
        <row r="13">
          <cell r="D13">
            <v>2003.873707875</v>
          </cell>
        </row>
        <row r="14">
          <cell r="D14">
            <v>1500.3878516249999</v>
          </cell>
        </row>
        <row r="15">
          <cell r="D15">
            <v>503.48585624999998</v>
          </cell>
        </row>
        <row r="16">
          <cell r="D16">
            <v>805.57736999999997</v>
          </cell>
        </row>
        <row r="17">
          <cell r="D17">
            <v>3524.4009937500005</v>
          </cell>
        </row>
        <row r="18">
          <cell r="D18">
            <v>302.09151374999999</v>
          </cell>
        </row>
        <row r="19">
          <cell r="D19">
            <v>1500.3878516249999</v>
          </cell>
        </row>
        <row r="20">
          <cell r="D20">
            <v>201.39434249999999</v>
          </cell>
        </row>
        <row r="21">
          <cell r="D21">
            <v>100.69717125</v>
          </cell>
        </row>
        <row r="22">
          <cell r="D22">
            <v>402.78868499999999</v>
          </cell>
        </row>
        <row r="23">
          <cell r="D23">
            <v>50.348585624999998</v>
          </cell>
        </row>
        <row r="24">
          <cell r="D24">
            <v>100.69717125</v>
          </cell>
        </row>
        <row r="25">
          <cell r="D25">
            <v>50.348585624999998</v>
          </cell>
        </row>
        <row r="26">
          <cell r="D26">
            <v>50.348585624999998</v>
          </cell>
        </row>
        <row r="27">
          <cell r="D27">
            <v>201.39434249999999</v>
          </cell>
        </row>
        <row r="28">
          <cell r="D28">
            <v>302.09151374999999</v>
          </cell>
        </row>
        <row r="29">
          <cell r="D29">
            <v>201.39434249999999</v>
          </cell>
        </row>
        <row r="30">
          <cell r="D30">
            <v>2003.873707875</v>
          </cell>
        </row>
        <row r="31">
          <cell r="D31">
            <v>5004.6494111250004</v>
          </cell>
        </row>
        <row r="32">
          <cell r="D32">
            <v>2497.289847</v>
          </cell>
        </row>
        <row r="33">
          <cell r="D33">
            <v>503.48585624999998</v>
          </cell>
        </row>
        <row r="34">
          <cell r="D34">
            <v>302.09151374999999</v>
          </cell>
        </row>
        <row r="35">
          <cell r="D35">
            <v>402.78868499999999</v>
          </cell>
        </row>
        <row r="36">
          <cell r="D36">
            <v>151.045756875</v>
          </cell>
        </row>
        <row r="37">
          <cell r="D37">
            <v>503.48585624999998</v>
          </cell>
        </row>
        <row r="38">
          <cell r="D38">
            <v>3000.7757032499999</v>
          </cell>
        </row>
        <row r="39">
          <cell r="D39">
            <v>2497.289847</v>
          </cell>
        </row>
        <row r="40">
          <cell r="D40">
            <v>1198.2963378750001</v>
          </cell>
        </row>
        <row r="41">
          <cell r="D41">
            <v>2497.289847</v>
          </cell>
        </row>
        <row r="42">
          <cell r="D42">
            <v>3584.8192964999998</v>
          </cell>
        </row>
      </sheetData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CBCFD-2E22-41F3-84DE-C40DB9077DD2}">
  <dimension ref="A1:H42"/>
  <sheetViews>
    <sheetView tabSelected="1" workbookViewId="0">
      <selection activeCell="D1" sqref="D1:D1048576"/>
    </sheetView>
  </sheetViews>
  <sheetFormatPr defaultRowHeight="14.4" x14ac:dyDescent="0.3"/>
  <cols>
    <col min="1" max="1" width="10.5546875" bestFit="1" customWidth="1"/>
    <col min="2" max="2" width="57.109375" bestFit="1" customWidth="1"/>
    <col min="3" max="3" width="15.109375" bestFit="1" customWidth="1"/>
    <col min="4" max="4" width="14.109375" bestFit="1" customWidth="1"/>
    <col min="5" max="5" width="11.33203125" bestFit="1" customWidth="1"/>
    <col min="6" max="6" width="13.77734375" bestFit="1" customWidth="1"/>
    <col min="7" max="7" width="17.6640625" bestFit="1" customWidth="1"/>
    <col min="8" max="8" width="11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t="s">
        <v>49</v>
      </c>
      <c r="C2" t="s">
        <v>9</v>
      </c>
      <c r="D2" t="s">
        <v>8</v>
      </c>
      <c r="E2">
        <v>1</v>
      </c>
      <c r="F2">
        <v>0</v>
      </c>
      <c r="G2">
        <v>0</v>
      </c>
      <c r="H2" s="2">
        <f>[1]TK!D2</f>
        <v>100.69717125</v>
      </c>
    </row>
    <row r="3" spans="1:8" x14ac:dyDescent="0.3">
      <c r="A3">
        <v>2</v>
      </c>
      <c r="B3" t="s">
        <v>50</v>
      </c>
      <c r="C3" t="s">
        <v>10</v>
      </c>
      <c r="D3" t="s">
        <v>8</v>
      </c>
      <c r="E3">
        <v>1</v>
      </c>
      <c r="F3">
        <v>0</v>
      </c>
      <c r="G3">
        <v>0</v>
      </c>
      <c r="H3" s="2">
        <f>[1]TK!D3</f>
        <v>201.39434249999999</v>
      </c>
    </row>
    <row r="4" spans="1:8" x14ac:dyDescent="0.3">
      <c r="A4">
        <v>3</v>
      </c>
      <c r="B4" t="s">
        <v>51</v>
      </c>
      <c r="C4" t="s">
        <v>11</v>
      </c>
      <c r="D4" t="s">
        <v>8</v>
      </c>
      <c r="E4">
        <v>1</v>
      </c>
      <c r="F4">
        <v>0</v>
      </c>
      <c r="G4">
        <v>0</v>
      </c>
      <c r="H4" s="2">
        <f>[1]TK!D4</f>
        <v>201.39434249999999</v>
      </c>
    </row>
    <row r="5" spans="1:8" x14ac:dyDescent="0.3">
      <c r="A5">
        <v>4</v>
      </c>
      <c r="B5" t="s">
        <v>52</v>
      </c>
      <c r="C5" t="s">
        <v>12</v>
      </c>
      <c r="D5" t="s">
        <v>8</v>
      </c>
      <c r="E5">
        <v>1</v>
      </c>
      <c r="F5">
        <v>0</v>
      </c>
      <c r="G5">
        <v>0</v>
      </c>
      <c r="H5" s="2">
        <f>[1]TK!D5</f>
        <v>201.39434249999999</v>
      </c>
    </row>
    <row r="6" spans="1:8" x14ac:dyDescent="0.3">
      <c r="A6">
        <v>5</v>
      </c>
      <c r="B6" t="s">
        <v>53</v>
      </c>
      <c r="C6" t="s">
        <v>13</v>
      </c>
      <c r="D6" t="s">
        <v>8</v>
      </c>
      <c r="E6">
        <v>1</v>
      </c>
      <c r="F6">
        <v>0</v>
      </c>
      <c r="G6">
        <v>0</v>
      </c>
      <c r="H6" s="2">
        <f>[1]TK!D6</f>
        <v>12003.102813</v>
      </c>
    </row>
    <row r="7" spans="1:8" x14ac:dyDescent="0.3">
      <c r="A7">
        <v>6</v>
      </c>
      <c r="B7" t="s">
        <v>54</v>
      </c>
      <c r="C7" t="s">
        <v>14</v>
      </c>
      <c r="D7" t="s">
        <v>8</v>
      </c>
      <c r="E7">
        <v>1</v>
      </c>
      <c r="F7">
        <v>0</v>
      </c>
      <c r="G7">
        <v>0</v>
      </c>
      <c r="H7" s="2">
        <f>[1]TK!D7</f>
        <v>30007.757032499998</v>
      </c>
    </row>
    <row r="8" spans="1:8" x14ac:dyDescent="0.3">
      <c r="A8">
        <v>7</v>
      </c>
      <c r="B8" t="s">
        <v>55</v>
      </c>
      <c r="C8" t="s">
        <v>15</v>
      </c>
      <c r="D8" t="s">
        <v>8</v>
      </c>
      <c r="E8">
        <v>1</v>
      </c>
      <c r="F8">
        <v>0</v>
      </c>
      <c r="G8">
        <v>0</v>
      </c>
      <c r="H8" s="2">
        <f>[1]TK!D8</f>
        <v>7995.3553972499994</v>
      </c>
    </row>
    <row r="9" spans="1:8" x14ac:dyDescent="0.3">
      <c r="A9">
        <v>8</v>
      </c>
      <c r="B9" t="s">
        <v>56</v>
      </c>
      <c r="C9" t="s">
        <v>16</v>
      </c>
      <c r="D9" t="s">
        <v>8</v>
      </c>
      <c r="E9">
        <v>1</v>
      </c>
      <c r="F9">
        <v>0</v>
      </c>
      <c r="G9">
        <v>0</v>
      </c>
      <c r="H9" s="2">
        <f>[1]TK!D9</f>
        <v>503.48585624999998</v>
      </c>
    </row>
    <row r="10" spans="1:8" x14ac:dyDescent="0.3">
      <c r="A10">
        <v>9</v>
      </c>
      <c r="B10" t="s">
        <v>57</v>
      </c>
      <c r="C10" t="s">
        <v>17</v>
      </c>
      <c r="D10" t="s">
        <v>8</v>
      </c>
      <c r="E10">
        <v>1</v>
      </c>
      <c r="F10">
        <v>0</v>
      </c>
      <c r="G10">
        <v>0</v>
      </c>
      <c r="H10" s="2">
        <f>[1]TK!D10</f>
        <v>6998.453401875001</v>
      </c>
    </row>
    <row r="11" spans="1:8" x14ac:dyDescent="0.3">
      <c r="A11">
        <v>10</v>
      </c>
      <c r="B11" t="s">
        <v>58</v>
      </c>
      <c r="C11" t="s">
        <v>18</v>
      </c>
      <c r="D11" t="s">
        <v>8</v>
      </c>
      <c r="E11">
        <v>1</v>
      </c>
      <c r="F11">
        <v>0</v>
      </c>
      <c r="G11">
        <v>0</v>
      </c>
      <c r="H11" s="2">
        <f>[1]TK!D11</f>
        <v>1500.3878516249999</v>
      </c>
    </row>
    <row r="12" spans="1:8" x14ac:dyDescent="0.3">
      <c r="A12">
        <v>11</v>
      </c>
      <c r="B12" t="s">
        <v>59</v>
      </c>
      <c r="C12" t="s">
        <v>19</v>
      </c>
      <c r="D12" t="s">
        <v>8</v>
      </c>
      <c r="E12">
        <v>1</v>
      </c>
      <c r="F12">
        <v>0</v>
      </c>
      <c r="G12">
        <v>0</v>
      </c>
      <c r="H12" s="2">
        <f>[1]TK!D12</f>
        <v>5034.8585625000005</v>
      </c>
    </row>
    <row r="13" spans="1:8" x14ac:dyDescent="0.3">
      <c r="A13">
        <v>12</v>
      </c>
      <c r="B13" t="s">
        <v>60</v>
      </c>
      <c r="C13" t="s">
        <v>20</v>
      </c>
      <c r="D13" t="s">
        <v>8</v>
      </c>
      <c r="E13">
        <v>1</v>
      </c>
      <c r="F13">
        <v>0</v>
      </c>
      <c r="G13">
        <v>0</v>
      </c>
      <c r="H13" s="2">
        <f>[1]TK!D13</f>
        <v>2003.873707875</v>
      </c>
    </row>
    <row r="14" spans="1:8" x14ac:dyDescent="0.3">
      <c r="A14">
        <v>13</v>
      </c>
      <c r="B14" t="s">
        <v>61</v>
      </c>
      <c r="C14" t="s">
        <v>21</v>
      </c>
      <c r="D14" t="s">
        <v>8</v>
      </c>
      <c r="E14">
        <v>1</v>
      </c>
      <c r="F14">
        <v>0</v>
      </c>
      <c r="G14">
        <v>0</v>
      </c>
      <c r="H14" s="2">
        <f>[1]TK!D14</f>
        <v>1500.3878516249999</v>
      </c>
    </row>
    <row r="15" spans="1:8" x14ac:dyDescent="0.3">
      <c r="A15">
        <v>14</v>
      </c>
      <c r="B15" t="s">
        <v>62</v>
      </c>
      <c r="C15" t="s">
        <v>22</v>
      </c>
      <c r="D15" t="s">
        <v>8</v>
      </c>
      <c r="E15">
        <v>1</v>
      </c>
      <c r="F15">
        <v>0</v>
      </c>
      <c r="G15">
        <v>0</v>
      </c>
      <c r="H15" s="2">
        <f>[1]TK!D15</f>
        <v>503.48585624999998</v>
      </c>
    </row>
    <row r="16" spans="1:8" x14ac:dyDescent="0.3">
      <c r="A16">
        <v>15</v>
      </c>
      <c r="B16" t="s">
        <v>63</v>
      </c>
      <c r="C16" t="s">
        <v>23</v>
      </c>
      <c r="D16" t="s">
        <v>8</v>
      </c>
      <c r="E16">
        <v>1</v>
      </c>
      <c r="F16">
        <v>0</v>
      </c>
      <c r="G16">
        <v>0</v>
      </c>
      <c r="H16" s="2">
        <f>[1]TK!D16</f>
        <v>805.57736999999997</v>
      </c>
    </row>
    <row r="17" spans="1:8" x14ac:dyDescent="0.3">
      <c r="A17">
        <v>16</v>
      </c>
      <c r="B17" t="s">
        <v>64</v>
      </c>
      <c r="C17" t="s">
        <v>24</v>
      </c>
      <c r="D17" t="s">
        <v>8</v>
      </c>
      <c r="E17">
        <v>1</v>
      </c>
      <c r="F17">
        <v>0</v>
      </c>
      <c r="G17">
        <v>0</v>
      </c>
      <c r="H17" s="2">
        <f>[1]TK!D17</f>
        <v>3524.4009937500005</v>
      </c>
    </row>
    <row r="18" spans="1:8" x14ac:dyDescent="0.3">
      <c r="A18">
        <v>17</v>
      </c>
      <c r="B18" t="s">
        <v>65</v>
      </c>
      <c r="C18" t="s">
        <v>25</v>
      </c>
      <c r="D18" t="s">
        <v>8</v>
      </c>
      <c r="E18">
        <v>0</v>
      </c>
      <c r="F18">
        <v>1</v>
      </c>
      <c r="G18" s="1">
        <v>3.5000000000000003E-2</v>
      </c>
      <c r="H18" s="2">
        <f>[1]TK!D18</f>
        <v>302.09151374999999</v>
      </c>
    </row>
    <row r="19" spans="1:8" x14ac:dyDescent="0.3">
      <c r="A19">
        <v>18</v>
      </c>
      <c r="B19" t="s">
        <v>66</v>
      </c>
      <c r="C19" t="s">
        <v>26</v>
      </c>
      <c r="D19" t="s">
        <v>8</v>
      </c>
      <c r="E19">
        <v>0</v>
      </c>
      <c r="F19">
        <v>1</v>
      </c>
      <c r="G19" s="1">
        <v>3.5000000000000003E-2</v>
      </c>
      <c r="H19" s="2">
        <f>[1]TK!D19</f>
        <v>1500.3878516249999</v>
      </c>
    </row>
    <row r="20" spans="1:8" x14ac:dyDescent="0.3">
      <c r="A20">
        <v>19</v>
      </c>
      <c r="B20" t="s">
        <v>67</v>
      </c>
      <c r="C20" t="s">
        <v>27</v>
      </c>
      <c r="D20" t="s">
        <v>8</v>
      </c>
      <c r="E20">
        <v>0</v>
      </c>
      <c r="F20">
        <v>1</v>
      </c>
      <c r="G20" s="1">
        <v>3.5000000000000003E-2</v>
      </c>
      <c r="H20" s="2">
        <f>[1]TK!D20</f>
        <v>201.39434249999999</v>
      </c>
    </row>
    <row r="21" spans="1:8" x14ac:dyDescent="0.3">
      <c r="A21">
        <v>20</v>
      </c>
      <c r="B21" t="s">
        <v>68</v>
      </c>
      <c r="C21" t="s">
        <v>28</v>
      </c>
      <c r="D21" t="s">
        <v>8</v>
      </c>
      <c r="E21">
        <v>0</v>
      </c>
      <c r="F21">
        <v>1</v>
      </c>
      <c r="G21" s="1">
        <v>3.5000000000000003E-2</v>
      </c>
      <c r="H21" s="2">
        <f>[1]TK!D21</f>
        <v>100.69717125</v>
      </c>
    </row>
    <row r="22" spans="1:8" x14ac:dyDescent="0.3">
      <c r="A22">
        <v>21</v>
      </c>
      <c r="B22" t="s">
        <v>69</v>
      </c>
      <c r="C22" t="s">
        <v>29</v>
      </c>
      <c r="D22" t="s">
        <v>8</v>
      </c>
      <c r="E22">
        <v>0</v>
      </c>
      <c r="F22">
        <v>1</v>
      </c>
      <c r="G22" s="1">
        <v>3.5000000000000003E-2</v>
      </c>
      <c r="H22" s="2">
        <f>[1]TK!D22</f>
        <v>402.78868499999999</v>
      </c>
    </row>
    <row r="23" spans="1:8" x14ac:dyDescent="0.3">
      <c r="A23">
        <v>22</v>
      </c>
      <c r="B23" t="s">
        <v>70</v>
      </c>
      <c r="C23" t="s">
        <v>30</v>
      </c>
      <c r="D23" t="s">
        <v>8</v>
      </c>
      <c r="E23">
        <v>0</v>
      </c>
      <c r="F23">
        <v>1</v>
      </c>
      <c r="G23" s="1">
        <v>3.5000000000000003E-2</v>
      </c>
      <c r="H23" s="2">
        <f>[1]TK!D23</f>
        <v>50.348585624999998</v>
      </c>
    </row>
    <row r="24" spans="1:8" x14ac:dyDescent="0.3">
      <c r="A24">
        <v>23</v>
      </c>
      <c r="B24" t="s">
        <v>71</v>
      </c>
      <c r="C24" t="s">
        <v>31</v>
      </c>
      <c r="D24" t="s">
        <v>8</v>
      </c>
      <c r="E24">
        <v>0</v>
      </c>
      <c r="F24">
        <v>1</v>
      </c>
      <c r="G24" s="1">
        <v>3.5000000000000003E-2</v>
      </c>
      <c r="H24" s="2">
        <f>[1]TK!D24</f>
        <v>100.69717125</v>
      </c>
    </row>
    <row r="25" spans="1:8" x14ac:dyDescent="0.3">
      <c r="A25">
        <v>24</v>
      </c>
      <c r="B25" t="s">
        <v>72</v>
      </c>
      <c r="C25" t="s">
        <v>32</v>
      </c>
      <c r="D25" t="s">
        <v>8</v>
      </c>
      <c r="E25">
        <v>0</v>
      </c>
      <c r="F25">
        <v>1</v>
      </c>
      <c r="G25" s="1">
        <v>3.5000000000000003E-2</v>
      </c>
      <c r="H25" s="2">
        <f>[1]TK!D25</f>
        <v>50.348585624999998</v>
      </c>
    </row>
    <row r="26" spans="1:8" x14ac:dyDescent="0.3">
      <c r="A26">
        <v>25</v>
      </c>
      <c r="B26" t="s">
        <v>73</v>
      </c>
      <c r="C26" t="s">
        <v>33</v>
      </c>
      <c r="D26" t="s">
        <v>8</v>
      </c>
      <c r="E26">
        <v>0</v>
      </c>
      <c r="F26">
        <v>1</v>
      </c>
      <c r="G26" s="1">
        <v>3.5000000000000003E-2</v>
      </c>
      <c r="H26" s="2">
        <f>[1]TK!D26</f>
        <v>50.348585624999998</v>
      </c>
    </row>
    <row r="27" spans="1:8" x14ac:dyDescent="0.3">
      <c r="A27">
        <v>26</v>
      </c>
      <c r="B27" t="s">
        <v>74</v>
      </c>
      <c r="C27" t="s">
        <v>34</v>
      </c>
      <c r="D27" t="s">
        <v>8</v>
      </c>
      <c r="E27">
        <v>0</v>
      </c>
      <c r="F27">
        <v>1</v>
      </c>
      <c r="G27" s="1">
        <v>3.5000000000000003E-2</v>
      </c>
      <c r="H27" s="2">
        <f>[1]TK!D27</f>
        <v>201.39434249999999</v>
      </c>
    </row>
    <row r="28" spans="1:8" x14ac:dyDescent="0.3">
      <c r="A28">
        <v>27</v>
      </c>
      <c r="B28" t="s">
        <v>75</v>
      </c>
      <c r="C28" t="s">
        <v>35</v>
      </c>
      <c r="D28" t="s">
        <v>8</v>
      </c>
      <c r="E28">
        <v>0</v>
      </c>
      <c r="F28">
        <v>1</v>
      </c>
      <c r="G28" s="1">
        <v>3.5000000000000003E-2</v>
      </c>
      <c r="H28" s="2">
        <f>[1]TK!D28</f>
        <v>302.09151374999999</v>
      </c>
    </row>
    <row r="29" spans="1:8" x14ac:dyDescent="0.3">
      <c r="A29">
        <v>28</v>
      </c>
      <c r="B29" t="s">
        <v>76</v>
      </c>
      <c r="C29" t="s">
        <v>36</v>
      </c>
      <c r="D29" t="s">
        <v>8</v>
      </c>
      <c r="E29">
        <v>0</v>
      </c>
      <c r="F29">
        <v>1</v>
      </c>
      <c r="G29" s="1">
        <v>3.5000000000000003E-2</v>
      </c>
      <c r="H29" s="2">
        <f>[1]TK!D29</f>
        <v>201.39434249999999</v>
      </c>
    </row>
    <row r="30" spans="1:8" x14ac:dyDescent="0.3">
      <c r="A30">
        <v>29</v>
      </c>
      <c r="B30" t="s">
        <v>77</v>
      </c>
      <c r="C30" t="s">
        <v>37</v>
      </c>
      <c r="D30" t="s">
        <v>8</v>
      </c>
      <c r="E30">
        <v>0</v>
      </c>
      <c r="F30">
        <v>1</v>
      </c>
      <c r="G30" s="1">
        <v>3.5000000000000003E-2</v>
      </c>
      <c r="H30" s="2">
        <f>[1]TK!D30</f>
        <v>2003.873707875</v>
      </c>
    </row>
    <row r="31" spans="1:8" x14ac:dyDescent="0.3">
      <c r="A31">
        <v>30</v>
      </c>
      <c r="B31" t="s">
        <v>78</v>
      </c>
      <c r="C31" t="s">
        <v>38</v>
      </c>
      <c r="D31" t="s">
        <v>8</v>
      </c>
      <c r="E31">
        <v>0</v>
      </c>
      <c r="F31">
        <v>1</v>
      </c>
      <c r="G31" s="1">
        <v>3.5000000000000003E-2</v>
      </c>
      <c r="H31" s="2">
        <f>[1]TK!D31</f>
        <v>5004.6494111250004</v>
      </c>
    </row>
    <row r="32" spans="1:8" x14ac:dyDescent="0.3">
      <c r="A32">
        <v>31</v>
      </c>
      <c r="B32" t="s">
        <v>79</v>
      </c>
      <c r="C32" t="s">
        <v>39</v>
      </c>
      <c r="D32" t="s">
        <v>8</v>
      </c>
      <c r="E32">
        <v>0</v>
      </c>
      <c r="F32">
        <v>1</v>
      </c>
      <c r="G32" s="1">
        <v>3.5000000000000003E-2</v>
      </c>
      <c r="H32" s="2">
        <f>[1]TK!D32</f>
        <v>2497.289847</v>
      </c>
    </row>
    <row r="33" spans="1:8" x14ac:dyDescent="0.3">
      <c r="A33">
        <v>32</v>
      </c>
      <c r="B33" t="s">
        <v>80</v>
      </c>
      <c r="C33" t="s">
        <v>40</v>
      </c>
      <c r="D33" t="s">
        <v>8</v>
      </c>
      <c r="E33">
        <v>0</v>
      </c>
      <c r="F33">
        <v>1</v>
      </c>
      <c r="G33" s="1">
        <v>3.5000000000000003E-2</v>
      </c>
      <c r="H33" s="2">
        <f>[1]TK!D33</f>
        <v>503.48585624999998</v>
      </c>
    </row>
    <row r="34" spans="1:8" x14ac:dyDescent="0.3">
      <c r="A34">
        <v>33</v>
      </c>
      <c r="B34" t="s">
        <v>81</v>
      </c>
      <c r="C34" t="s">
        <v>41</v>
      </c>
      <c r="D34" t="s">
        <v>8</v>
      </c>
      <c r="E34">
        <v>0</v>
      </c>
      <c r="F34">
        <v>1</v>
      </c>
      <c r="G34" s="1">
        <v>3.5000000000000003E-2</v>
      </c>
      <c r="H34" s="2">
        <f>[1]TK!D34</f>
        <v>302.09151374999999</v>
      </c>
    </row>
    <row r="35" spans="1:8" x14ac:dyDescent="0.3">
      <c r="A35">
        <v>34</v>
      </c>
      <c r="B35" t="s">
        <v>82</v>
      </c>
      <c r="C35" t="s">
        <v>42</v>
      </c>
      <c r="D35" t="s">
        <v>8</v>
      </c>
      <c r="E35">
        <v>0</v>
      </c>
      <c r="F35">
        <v>1</v>
      </c>
      <c r="G35" s="1">
        <v>3.5000000000000003E-2</v>
      </c>
      <c r="H35" s="2">
        <f>[1]TK!D35</f>
        <v>402.78868499999999</v>
      </c>
    </row>
    <row r="36" spans="1:8" x14ac:dyDescent="0.3">
      <c r="A36">
        <v>35</v>
      </c>
      <c r="B36" t="s">
        <v>83</v>
      </c>
      <c r="C36" t="s">
        <v>43</v>
      </c>
      <c r="D36" t="s">
        <v>8</v>
      </c>
      <c r="E36">
        <v>0</v>
      </c>
      <c r="F36">
        <v>1</v>
      </c>
      <c r="G36" s="1">
        <v>3.5000000000000003E-2</v>
      </c>
      <c r="H36" s="2">
        <f>[1]TK!D36</f>
        <v>151.045756875</v>
      </c>
    </row>
    <row r="37" spans="1:8" x14ac:dyDescent="0.3">
      <c r="A37">
        <v>36</v>
      </c>
      <c r="B37" t="s">
        <v>84</v>
      </c>
      <c r="C37" t="s">
        <v>44</v>
      </c>
      <c r="D37" t="s">
        <v>8</v>
      </c>
      <c r="E37">
        <v>0</v>
      </c>
      <c r="F37">
        <v>1</v>
      </c>
      <c r="G37" s="1">
        <v>3.5000000000000003E-2</v>
      </c>
      <c r="H37" s="2">
        <f>[1]TK!D37</f>
        <v>503.48585624999998</v>
      </c>
    </row>
    <row r="38" spans="1:8" x14ac:dyDescent="0.3">
      <c r="A38">
        <v>37</v>
      </c>
      <c r="B38" t="s">
        <v>85</v>
      </c>
      <c r="C38" t="s">
        <v>45</v>
      </c>
      <c r="D38" t="s">
        <v>8</v>
      </c>
      <c r="E38">
        <v>0</v>
      </c>
      <c r="F38">
        <v>1</v>
      </c>
      <c r="G38" s="1">
        <v>3.5000000000000003E-2</v>
      </c>
      <c r="H38" s="2">
        <f>[1]TK!D38</f>
        <v>3000.7757032499999</v>
      </c>
    </row>
    <row r="39" spans="1:8" x14ac:dyDescent="0.3">
      <c r="A39">
        <v>38</v>
      </c>
      <c r="B39" t="s">
        <v>86</v>
      </c>
      <c r="C39" t="s">
        <v>46</v>
      </c>
      <c r="D39" t="s">
        <v>8</v>
      </c>
      <c r="E39">
        <v>0</v>
      </c>
      <c r="F39">
        <v>1</v>
      </c>
      <c r="G39" s="1">
        <v>3.5000000000000003E-2</v>
      </c>
      <c r="H39" s="2">
        <f>[1]TK!D39</f>
        <v>2497.289847</v>
      </c>
    </row>
    <row r="40" spans="1:8" x14ac:dyDescent="0.3">
      <c r="A40">
        <v>39</v>
      </c>
      <c r="B40" t="s">
        <v>87</v>
      </c>
      <c r="C40" t="s">
        <v>47</v>
      </c>
      <c r="D40" t="s">
        <v>8</v>
      </c>
      <c r="E40">
        <v>0</v>
      </c>
      <c r="F40">
        <v>1</v>
      </c>
      <c r="G40" s="1">
        <v>3.5000000000000003E-2</v>
      </c>
      <c r="H40" s="2">
        <f>[1]TK!D40</f>
        <v>1198.2963378750001</v>
      </c>
    </row>
    <row r="41" spans="1:8" x14ac:dyDescent="0.3">
      <c r="A41">
        <v>40</v>
      </c>
      <c r="B41" t="s">
        <v>88</v>
      </c>
      <c r="C41" t="s">
        <v>48</v>
      </c>
      <c r="D41" t="s">
        <v>8</v>
      </c>
      <c r="E41">
        <v>0</v>
      </c>
      <c r="F41">
        <v>1</v>
      </c>
      <c r="G41" s="1">
        <v>3.5000000000000003E-2</v>
      </c>
      <c r="H41" s="2">
        <f>[1]TK!D41</f>
        <v>2497.289847</v>
      </c>
    </row>
    <row r="42" spans="1:8" x14ac:dyDescent="0.3">
      <c r="A42">
        <v>41</v>
      </c>
      <c r="B42" t="s">
        <v>89</v>
      </c>
      <c r="C42" t="s">
        <v>90</v>
      </c>
      <c r="D42" t="s">
        <v>8</v>
      </c>
      <c r="E42">
        <v>0</v>
      </c>
      <c r="F42">
        <v>1</v>
      </c>
      <c r="G42" s="1">
        <v>3.5000000000000003E-2</v>
      </c>
      <c r="H42" s="2">
        <f>[1]TK!D42</f>
        <v>3584.8192964999998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DeskripsiSektor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Bodro, Dewi Kiswani</dc:creator>
  <cp:lastModifiedBy>Bodro, Dewi Kiswani</cp:lastModifiedBy>
  <dcterms:created xsi:type="dcterms:W3CDTF">2026-09-04T07:30:25Z</dcterms:created>
  <dcterms:modified xsi:type="dcterms:W3CDTF">2026-09-04T23:09:56Z</dcterms:modified>
</cp:coreProperties>
</file>